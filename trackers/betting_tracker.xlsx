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t Log" sheetId="1" state="visible" r:id="rId3"/>
    <sheet name="Weekly Summary" sheetId="2" state="visible" r:id="rId4"/>
    <sheet name="Bankroll Dashboard" sheetId="3" state="visible" r:id="rId5"/>
    <sheet name="Kelly Calculato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<sst xmlns="http://schemas.openxmlformats.org/spreadsheetml/2006/main" count="61" uniqueCount="59">
  <si>
    <t xml:space="preserve">Date</t>
  </si>
  <si>
    <t xml:space="preserve">Sport</t>
  </si>
  <si>
    <t xml:space="preserve">Event</t>
  </si>
  <si>
    <t xml:space="preserve">Pick</t>
  </si>
  <si>
    <t xml:space="preserve">Odds (American)</t>
  </si>
  <si>
    <t xml:space="preserve">Implied Prob%</t>
  </si>
  <si>
    <t xml:space="preserve">My Prob%</t>
  </si>
  <si>
    <t xml:space="preserve">Edge%</t>
  </si>
  <si>
    <t xml:space="preserve">Confidence (1-10)</t>
  </si>
  <si>
    <t xml:space="preserve">Stake ($)</t>
  </si>
  <si>
    <t xml:space="preserve">Result (W/L/P)</t>
  </si>
  <si>
    <t xml:space="preserve">Payout</t>
  </si>
  <si>
    <t xml:space="preserve">P&amp;L</t>
  </si>
  <si>
    <t xml:space="preserve">Running Bankroll</t>
  </si>
  <si>
    <t xml:space="preserve">NBA</t>
  </si>
  <si>
    <t xml:space="preserve">Lakers vs Celtics</t>
  </si>
  <si>
    <t xml:space="preserve">Lakers -5</t>
  </si>
  <si>
    <t xml:space="preserve">W</t>
  </si>
  <si>
    <t xml:space="preserve">MLB</t>
  </si>
  <si>
    <t xml:space="preserve">Yankees vs Red Sox</t>
  </si>
  <si>
    <t xml:space="preserve">Yankees Over 8.5</t>
  </si>
  <si>
    <t xml:space="preserve">L</t>
  </si>
  <si>
    <t xml:space="preserve">Soccer</t>
  </si>
  <si>
    <t xml:space="preserve">Man City vs Arsenal</t>
  </si>
  <si>
    <t xml:space="preserve">Man City ML</t>
  </si>
  <si>
    <t xml:space="preserve">Week #</t>
  </si>
  <si>
    <t xml:space="preserve">Start Date</t>
  </si>
  <si>
    <t xml:space="preserve">End Date</t>
  </si>
  <si>
    <t xml:space="preserve"># Bets</t>
  </si>
  <si>
    <t xml:space="preserve">Wins</t>
  </si>
  <si>
    <t xml:space="preserve">Losses</t>
  </si>
  <si>
    <t xml:space="preserve">Win Rate%</t>
  </si>
  <si>
    <t xml:space="preserve">Total Staked</t>
  </si>
  <si>
    <t xml:space="preserve">Total P&amp;L</t>
  </si>
  <si>
    <t xml:space="preserve">ROI%</t>
  </si>
  <si>
    <t xml:space="preserve">BANKROLL DASHBOARD</t>
  </si>
  <si>
    <t xml:space="preserve">Starting Bankroll:</t>
  </si>
  <si>
    <t xml:space="preserve">Current Bankroll:</t>
  </si>
  <si>
    <t xml:space="preserve">Total Bets:</t>
  </si>
  <si>
    <t xml:space="preserve">Win Rate:</t>
  </si>
  <si>
    <t xml:space="preserve">Average Stake:</t>
  </si>
  <si>
    <t xml:space="preserve">Best Win:</t>
  </si>
  <si>
    <t xml:space="preserve">Worst Loss:</t>
  </si>
  <si>
    <t xml:space="preserve">BY SPORT BREAKDOWN</t>
  </si>
  <si>
    <t xml:space="preserve">NBA Bets:</t>
  </si>
  <si>
    <t xml:space="preserve">MLB Bets:</t>
  </si>
  <si>
    <t xml:space="preserve">Soccer Bets:</t>
  </si>
  <si>
    <t xml:space="preserve">KELLY CRITERION CALCULATOR</t>
  </si>
  <si>
    <t xml:space="preserve">INPUT CELLS</t>
  </si>
  <si>
    <t xml:space="preserve">Probability (0-1):</t>
  </si>
  <si>
    <t xml:space="preserve">Odds (American):</t>
  </si>
  <si>
    <t xml:space="preserve">Bankroll:</t>
  </si>
  <si>
    <t xml:space="preserve">Decimal Odds:</t>
  </si>
  <si>
    <t xml:space="preserve">Probability of Loss:</t>
  </si>
  <si>
    <t xml:space="preserve">OUTPUT CELLS</t>
  </si>
  <si>
    <t xml:space="preserve">Full Kelly %:</t>
  </si>
  <si>
    <t xml:space="preserve">Half Kelly %:</t>
  </si>
  <si>
    <t xml:space="preserve">Quarter Kelly %:</t>
  </si>
  <si>
    <t xml:space="preserve">Recommended Bet Amount (Half Kelly):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</si>
</sst>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/dd/yyyy"/>
    <numFmt numFmtId="166" formatCode="0.0%"/>
    <numFmt numFmtId="167" formatCode="\$#,##0.00"/>
    <numFmt numFmtId="168" formatCode="0.000"/>
    <numFmt numFmtId="169" formatCode="0"/>
    <numFmt numFmtId="170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66CC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CC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0066CC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66CC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  <fill>
      <patternFill patternType="solid">
        <fgColor rgb="FFFFF2CC"/>
        <bgColor rgb="FFE7F0F7"/>
      </patternFill>
    </fill>
    <fill>
      <patternFill patternType="solid">
        <fgColor rgb="FFE7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F0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20"/>
    <col collapsed="false" customWidth="true" hidden="false" outlineLevel="0" max="5" min="4" style="1" width="15"/>
    <col collapsed="false" customWidth="true" hidden="false" outlineLevel="0" max="7" min="6" style="1" width="12"/>
    <col collapsed="false" customWidth="true" hidden="false" outlineLevel="0" max="8" min="8" style="1" width="10"/>
    <col collapsed="false" customWidth="true" hidden="false" outlineLevel="0" max="9" min="9" style="1" width="15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3" min="12" style="1" width="12"/>
    <col collapsed="false" customWidth="true" hidden="false" outlineLevel="0" max="14" min="14" style="1" width="15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5" hidden="false" customHeight="true" outlineLevel="0" collapsed="false">
      <c r="A2" s="3" t="n">
        <v>46101</v>
      </c>
      <c r="B2" s="4" t="s">
        <v>14</v>
      </c>
      <c r="C2" s="4" t="s">
        <v>15</v>
      </c>
      <c r="D2" s="4" t="s">
        <v>16</v>
      </c>
      <c r="E2" s="4" t="n">
        <v>-110</v>
      </c>
      <c r="F2" s="5" t="n">
        <v>0.524</v>
      </c>
      <c r="G2" s="5" t="n">
        <v>0.55</v>
      </c>
      <c r="H2" s="5" t="n">
        <v>0.026</v>
      </c>
      <c r="I2" s="4" t="n">
        <v>8</v>
      </c>
      <c r="J2" s="6" t="n">
        <v>100</v>
      </c>
      <c r="K2" s="4" t="s">
        <v>17</v>
      </c>
      <c r="L2" s="6" t="n">
        <f aca="false">IF(K2="W",J2*(1+ABS(E2/100)),0)</f>
        <v>210</v>
      </c>
      <c r="M2" s="6" t="n">
        <f aca="false">IF(K2="W",L2-J2,IF(K2="L",-J2,0))</f>
        <v>110</v>
      </c>
      <c r="N2" s="6" t="n">
        <f aca="false">1000+M2</f>
        <v>1110</v>
      </c>
    </row>
    <row r="3" customFormat="false" ht="15" hidden="false" customHeight="true" outlineLevel="0" collapsed="false">
      <c r="A3" s="7" t="n">
        <v>46102</v>
      </c>
      <c r="B3" s="8" t="s">
        <v>18</v>
      </c>
      <c r="C3" s="8" t="s">
        <v>19</v>
      </c>
      <c r="D3" s="8" t="s">
        <v>20</v>
      </c>
      <c r="E3" s="8" t="n">
        <v>110</v>
      </c>
      <c r="F3" s="9" t="n">
        <v>0.476</v>
      </c>
      <c r="G3" s="9" t="n">
        <v>0.5</v>
      </c>
      <c r="H3" s="9" t="n">
        <v>0.024</v>
      </c>
      <c r="I3" s="8" t="n">
        <v>7</v>
      </c>
      <c r="J3" s="10" t="n">
        <v>75</v>
      </c>
      <c r="K3" s="8" t="s">
        <v>21</v>
      </c>
      <c r="L3" s="10" t="n">
        <f aca="false">IF(K3="W",J3*(1+ABS(E3/100)),0)</f>
        <v>0</v>
      </c>
      <c r="M3" s="10" t="n">
        <f aca="false">IF(K3="W",L3-J3,IF(K3="L",-J3,0))</f>
        <v>-75</v>
      </c>
      <c r="N3" s="10" t="n">
        <f aca="false">N2+M3</f>
        <v>1035</v>
      </c>
    </row>
    <row r="4" customFormat="false" ht="15" hidden="false" customHeight="true" outlineLevel="0" collapsed="false">
      <c r="A4" s="3" t="n">
        <v>46103</v>
      </c>
      <c r="B4" s="4" t="s">
        <v>22</v>
      </c>
      <c r="C4" s="4" t="s">
        <v>23</v>
      </c>
      <c r="D4" s="4" t="s">
        <v>24</v>
      </c>
      <c r="E4" s="4" t="n">
        <v>-150</v>
      </c>
      <c r="F4" s="5" t="n">
        <v>0.6</v>
      </c>
      <c r="G4" s="5" t="n">
        <v>0.62</v>
      </c>
      <c r="H4" s="5" t="n">
        <v>0.02</v>
      </c>
      <c r="I4" s="4" t="n">
        <v>9</v>
      </c>
      <c r="J4" s="6" t="n">
        <v>150</v>
      </c>
      <c r="K4" s="4" t="s">
        <v>17</v>
      </c>
      <c r="L4" s="6" t="n">
        <f aca="false">IF(K4="W",J4*(1+ABS(E4/100)),0)</f>
        <v>375</v>
      </c>
      <c r="M4" s="6" t="n">
        <f aca="false">IF(K4="W",L4-J4,IF(K4="L",-J4,0))</f>
        <v>225</v>
      </c>
      <c r="N4" s="6" t="n">
        <f aca="false">N3+M4</f>
        <v>1260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2"/>
    <col collapsed="false" customWidth="true" hidden="false" outlineLevel="0" max="4" min="4" style="1" width="10"/>
    <col collapsed="false" customWidth="true" hidden="false" outlineLevel="0" max="6" min="5" style="1" width="8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10"/>
    <col collapsed="false" customWidth="true" hidden="false" outlineLevel="0" max="11" min="11" style="1" width="15"/>
  </cols>
  <sheetData>
    <row r="1" customFormat="false" ht="26.25" hidden="false" customHeight="true" outlineLevel="0" collapsed="false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13</v>
      </c>
    </row>
    <row r="2" customFormat="false" ht="15" hidden="false" customHeight="true" outlineLevel="0" collapsed="false">
      <c r="A2" s="11" t="n">
        <v>1</v>
      </c>
      <c r="B2" s="12" t="n">
        <v>46097</v>
      </c>
      <c r="C2" s="12" t="n">
        <v>46103</v>
      </c>
      <c r="D2" s="11" t="n">
        <f aca="false">COUNTIFS('Bet Log'!$A$2:$A$1000,"&gt;="&amp;DATE(2026,3,16),'Bet Log'!$A$2:$A$1000,"&lt;="&amp;DATE(2026,3,22))</f>
        <v>3</v>
      </c>
      <c r="E2" s="11" t="n">
        <f aca="false">COUNTIFS('Bet Log'!$A$2:$A$1000,"&gt;="&amp;DATE(2026,3,16),'Bet Log'!$A$2:$A$1000,"&lt;="&amp;DATE(2026,3,22),'Bet Log'!$K$2:$K$1000,"W")</f>
        <v>2</v>
      </c>
      <c r="F2" s="11" t="n">
        <f aca="false">COUNTIFS('Bet Log'!$A$2:$A$1000,"&gt;="&amp;DATE(2026,3,16),'Bet Log'!$A$2:$A$1000,"&lt;="&amp;DATE(2026,3,22),'Bet Log'!$K$2:$K$1000,"L")</f>
        <v>1</v>
      </c>
      <c r="G2" s="13" t="n">
        <f aca="false">IF(D2=0,0,E2/D2)</f>
        <v>0.666666666666667</v>
      </c>
      <c r="H2" s="14" t="n">
        <f aca="false">SUMIFS('Bet Log'!$J$2:$J$1000,'Bet Log'!$A$2:$A$1000,"&gt;="&amp;DATE(2026,3,16),'Bet Log'!$A$2:$A$1000,"&lt;="&amp;DATE(2026,3,22))</f>
        <v>325</v>
      </c>
      <c r="I2" s="15" t="n">
        <f aca="false">SUMIFS('Bet Log'!$M$2:$M$1000,'Bet Log'!$A$2:$A$1000,"&gt;="&amp;DATE(2026,3,16),'Bet Log'!$A$2:$A$1000,"&lt;="&amp;DATE(2026,3,22))</f>
        <v>260</v>
      </c>
      <c r="J2" s="13" t="n">
        <f aca="false">IF(H2=0,0,I2/H2)</f>
        <v>0.8</v>
      </c>
      <c r="K2" s="14" t="n">
        <f aca="false">1000+I2</f>
        <v>1260</v>
      </c>
    </row>
    <row r="3" customFormat="false" ht="15" hidden="false" customHeight="true" outlineLevel="0" collapsed="false">
      <c r="A3" s="11" t="n">
        <v>2</v>
      </c>
      <c r="B3" s="12" t="n">
        <v>46104</v>
      </c>
      <c r="C3" s="12" t="n">
        <v>46110</v>
      </c>
      <c r="D3" s="11" t="n">
        <f aca="false">COUNTIFS('Bet Log'!$A$2:$A$1000,"&gt;="&amp;DATE(2026,3,23),'Bet Log'!$A$2:$A$1000,"&lt;="&amp;DATE(2026,3,29))</f>
        <v>0</v>
      </c>
      <c r="E3" s="11" t="n">
        <f aca="false">COUNTIFS('Bet Log'!$A$2:$A$1000,"&gt;="&amp;DATE(2026,3,23),'Bet Log'!$A$2:$A$1000,"&lt;="&amp;DATE(2026,3,29),'Bet Log'!$K$2:$K$1000,"W")</f>
        <v>0</v>
      </c>
      <c r="F3" s="11" t="n">
        <f aca="false">COUNTIFS('Bet Log'!$A$2:$A$1000,"&gt;="&amp;DATE(2026,3,23),'Bet Log'!$A$2:$A$1000,"&lt;="&amp;DATE(2026,3,29),'Bet Log'!$K$2:$K$1000,"L")</f>
        <v>0</v>
      </c>
      <c r="G3" s="13" t="n">
        <f aca="false">IF(D3=0,0,E3/D3)</f>
        <v>0</v>
      </c>
      <c r="H3" s="14" t="n">
        <f aca="false">SUMIFS('Bet Log'!$J$2:$J$1000,'Bet Log'!$A$2:$A$1000,"&gt;="&amp;DATE(2026,3,23),'Bet Log'!$A$2:$A$1000,"&lt;="&amp;DATE(2026,3,29))</f>
        <v>0</v>
      </c>
      <c r="I3" s="14" t="n">
        <f aca="false">SUMIFS('Bet Log'!$M$2:$M$1000,'Bet Log'!$A$2:$A$1000,"&gt;="&amp;DATE(2026,3,23),'Bet Log'!$A$2:$A$1000,"&lt;="&amp;DATE(2026,3,29))</f>
        <v>0</v>
      </c>
      <c r="J3" s="13" t="n">
        <f aca="false">IF(H3=0,0,I3/H3)</f>
        <v>0</v>
      </c>
      <c r="K3" s="14" t="n">
        <f aca="false">1000+I3</f>
        <v>1000</v>
      </c>
    </row>
    <row r="4" customFormat="false" ht="15" hidden="false" customHeight="true" outlineLevel="0" collapsed="false">
      <c r="A4" s="11" t="n">
        <v>3</v>
      </c>
      <c r="B4" s="12" t="n">
        <v>46111</v>
      </c>
      <c r="C4" s="12" t="n">
        <v>46117</v>
      </c>
      <c r="D4" s="11" t="n">
        <f aca="false">COUNTIFS('Bet Log'!$A$2:$A$1000,"&gt;="&amp;DATE(2026,3,30),'Bet Log'!$A$2:$A$1000,"&lt;="&amp;DATE(2026,3,5))</f>
        <v>0</v>
      </c>
      <c r="E4" s="11" t="n">
        <f aca="false">COUNTIFS('Bet Log'!$A$2:$A$1000,"&gt;="&amp;DATE(2026,3,30),'Bet Log'!$A$2:$A$1000,"&lt;="&amp;DATE(2026,3,5),'Bet Log'!$K$2:$K$1000,"W")</f>
        <v>0</v>
      </c>
      <c r="F4" s="11" t="n">
        <f aca="false">COUNTIFS('Bet Log'!$A$2:$A$1000,"&gt;="&amp;DATE(2026,3,30),'Bet Log'!$A$2:$A$1000,"&lt;="&amp;DATE(2026,3,5),'Bet Log'!$K$2:$K$1000,"L")</f>
        <v>0</v>
      </c>
      <c r="G4" s="13" t="n">
        <f aca="false">IF(D4=0,0,E4/D4)</f>
        <v>0</v>
      </c>
      <c r="H4" s="14" t="n">
        <f aca="false">SUMIFS('Bet Log'!$J$2:$J$1000,'Bet Log'!$A$2:$A$1000,"&gt;="&amp;DATE(2026,3,30),'Bet Log'!$A$2:$A$1000,"&lt;="&amp;DATE(2026,3,5))</f>
        <v>0</v>
      </c>
      <c r="I4" s="14" t="n">
        <f aca="false">SUMIFS('Bet Log'!$M$2:$M$1000,'Bet Log'!$A$2:$A$1000,"&gt;="&amp;DATE(2026,3,30),'Bet Log'!$A$2:$A$1000,"&lt;="&amp;DATE(2026,3,5))</f>
        <v>0</v>
      </c>
      <c r="J4" s="13" t="n">
        <f aca="false">IF(H4=0,0,I4/H4)</f>
        <v>0</v>
      </c>
      <c r="K4" s="14" t="n">
        <f aca="false">1000+I4</f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5"/>
  </cols>
  <sheetData>
    <row r="1" customFormat="false" ht="17.25" hidden="false" customHeight="true" outlineLevel="0" collapsed="false">
      <c r="A1" s="16" t="s">
        <v>35</v>
      </c>
      <c r="B1" s="16"/>
    </row>
    <row r="3" customFormat="false" ht="15" hidden="false" customHeight="true" outlineLevel="0" collapsed="false">
      <c r="A3" s="17" t="s">
        <v>36</v>
      </c>
      <c r="B3" s="18" t="n">
        <v>1000</v>
      </c>
    </row>
    <row r="4" customFormat="false" ht="15" hidden="false" customHeight="true" outlineLevel="0" collapsed="false">
      <c r="A4" s="17" t="s">
        <v>37</v>
      </c>
      <c r="B4" s="19" t="n">
        <f aca="false">B3+SUM('Bet Log'!M2:M1000)</f>
        <v>1260</v>
      </c>
    </row>
    <row r="6" customFormat="false" ht="15" hidden="false" customHeight="true" outlineLevel="0" collapsed="false">
      <c r="A6" s="17" t="s">
        <v>38</v>
      </c>
      <c r="B6" s="20" t="n">
        <f aca="false">COUNTA('Bet Log'!K2:K1000)-COUNTBLANK('Bet Log'!K2:K1000)</f>
        <v>-993</v>
      </c>
    </row>
    <row r="7" customFormat="false" ht="15" hidden="false" customHeight="true" outlineLevel="0" collapsed="false">
      <c r="A7" s="17" t="s">
        <v>39</v>
      </c>
      <c r="B7" s="21" t="n">
        <f aca="false">IF(B6=0,0,COUNTIF('Bet Log'!K:K,"W")/B6)</f>
        <v>-0.00201409869083585</v>
      </c>
    </row>
    <row r="8" customFormat="false" ht="15" hidden="false" customHeight="true" outlineLevel="0" collapsed="false">
      <c r="A8" s="17" t="s">
        <v>40</v>
      </c>
      <c r="B8" s="22" t="n">
        <f aca="false">IF(B6=0,0,AVERAGE('Bet Log'!J2:J1000))</f>
        <v>108.333333333333</v>
      </c>
    </row>
    <row r="9" customFormat="false" ht="15" hidden="false" customHeight="true" outlineLevel="0" collapsed="false">
      <c r="A9" s="17" t="s">
        <v>41</v>
      </c>
      <c r="B9" s="23" t="n">
        <f aca="false">MAX('Bet Log'!M:M)</f>
        <v>225</v>
      </c>
    </row>
    <row r="10" customFormat="false" ht="15" hidden="false" customHeight="true" outlineLevel="0" collapsed="false">
      <c r="A10" s="17" t="s">
        <v>42</v>
      </c>
      <c r="B10" s="24" t="n">
        <f aca="false">MIN('Bet Log'!M:M)</f>
        <v>-75</v>
      </c>
    </row>
    <row r="12" customFormat="false" ht="15" hidden="false" customHeight="true" outlineLevel="0" collapsed="false">
      <c r="A12" s="25" t="s">
        <v>43</v>
      </c>
      <c r="B12" s="25"/>
    </row>
    <row r="13" customFormat="false" ht="15" hidden="false" customHeight="true" outlineLevel="0" collapsed="false">
      <c r="A13" s="17" t="s">
        <v>44</v>
      </c>
      <c r="B13" s="20" t="n">
        <f aca="false">COUNTIF('Bet Log'!B:B,"NBA")</f>
        <v>1</v>
      </c>
    </row>
    <row r="14" customFormat="false" ht="15" hidden="false" customHeight="true" outlineLevel="0" collapsed="false">
      <c r="A14" s="17" t="s">
        <v>45</v>
      </c>
      <c r="B14" s="20" t="n">
        <f aca="false">COUNTIF('Bet Log'!B:B,"MLB")</f>
        <v>1</v>
      </c>
    </row>
    <row r="15" customFormat="false" ht="15" hidden="false" customHeight="true" outlineLevel="0" collapsed="false">
      <c r="A15" s="17" t="s">
        <v>46</v>
      </c>
      <c r="B15" s="20" t="n">
        <f aca="false">COUNTIF('Bet Log'!B:B,"Soccer")</f>
        <v>1</v>
      </c>
    </row>
  </sheetData>
  <mergeCells count="2">
    <mergeCell ref="A1:B1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20"/>
  </cols>
  <sheetData>
    <row r="1" customFormat="false" ht="17.25" hidden="false" customHeight="true" outlineLevel="0" collapsed="false">
      <c r="A1" s="16" t="s">
        <v>47</v>
      </c>
      <c r="B1" s="16"/>
    </row>
    <row r="3" customFormat="false" ht="15" hidden="false" customHeight="true" outlineLevel="0" collapsed="false">
      <c r="A3" s="26" t="s">
        <v>48</v>
      </c>
    </row>
    <row r="5" customFormat="false" ht="15" hidden="false" customHeight="true" outlineLevel="0" collapsed="false">
      <c r="A5" s="27" t="s">
        <v>49</v>
      </c>
      <c r="B5" s="28" t="n">
        <v>0.55</v>
      </c>
    </row>
    <row r="6" customFormat="false" ht="15" hidden="false" customHeight="true" outlineLevel="0" collapsed="false">
      <c r="A6" s="27" t="s">
        <v>50</v>
      </c>
      <c r="B6" s="29" t="n">
        <v>-110</v>
      </c>
    </row>
    <row r="7" customFormat="false" ht="15" hidden="false" customHeight="true" outlineLevel="0" collapsed="false">
      <c r="A7" s="27" t="s">
        <v>51</v>
      </c>
      <c r="B7" s="30" t="n">
        <v>1000</v>
      </c>
    </row>
    <row r="9" customFormat="false" ht="15" hidden="false" customHeight="true" outlineLevel="0" collapsed="false">
      <c r="A9" s="27" t="s">
        <v>52</v>
      </c>
      <c r="B9" s="31" t="n">
        <f aca="false">IF(B6&lt;0,1+100/ABS(B6),1+B6/100)</f>
        <v>1.90909090909091</v>
      </c>
    </row>
    <row r="10" customFormat="false" ht="15" hidden="false" customHeight="true" outlineLevel="0" collapsed="false">
      <c r="A10" s="27" t="s">
        <v>53</v>
      </c>
      <c r="B10" s="32" t="n">
        <f aca="false">1-B5</f>
        <v>0.45</v>
      </c>
    </row>
    <row r="12" customFormat="false" ht="15" hidden="false" customHeight="true" outlineLevel="0" collapsed="false">
      <c r="A12" s="33" t="s">
        <v>54</v>
      </c>
    </row>
    <row r="14" customFormat="false" ht="15" hidden="false" customHeight="true" outlineLevel="0" collapsed="false">
      <c r="A14" s="27" t="s">
        <v>55</v>
      </c>
      <c r="B14" s="34" t="n">
        <f aca="false">(B5*B9-B10)/(B9-1)</f>
        <v>0.66</v>
      </c>
    </row>
    <row r="15" customFormat="false" ht="15" hidden="false" customHeight="true" outlineLevel="0" collapsed="false">
      <c r="A15" s="27" t="s">
        <v>56</v>
      </c>
      <c r="B15" s="34" t="n">
        <f aca="false">B14/2</f>
        <v>0.33</v>
      </c>
    </row>
    <row r="16" customFormat="false" ht="15" hidden="false" customHeight="true" outlineLevel="0" collapsed="false">
      <c r="A16" s="27" t="s">
        <v>57</v>
      </c>
      <c r="B16" s="34" t="n">
        <f aca="false">B14/4</f>
        <v>0.165</v>
      </c>
    </row>
    <row r="18" customFormat="false" ht="15" hidden="false" customHeight="true" outlineLevel="0" collapsed="false">
      <c r="A18" s="27" t="s">
        <v>58</v>
      </c>
      <c r="B18" s="35" t="n">
        <f aca="false">B7*B15</f>
        <v>330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2026-03-23T23:47:14Z</dcterms:created>
  <dc:creator>openpyxl</dc:creator>
  <dc:description/>
  <dc:language>en-US</dc:language>
  <cp:lastModifiedBy/>
  <dcterms:modified xsi:type="dcterms:W3CDTF">2026-03-23T23:47:35Z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